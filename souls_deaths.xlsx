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jbel\Documents\Projects\CS_Proj\soulsDeath2pushUps\"/>
    </mc:Choice>
  </mc:AlternateContent>
  <xr:revisionPtr revIDLastSave="0" documentId="13_ncr:1_{C8FE884E-FC75-4B20-83AE-9CA415D2EF0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eaths Log" sheetId="1" r:id="rId1"/>
    <sheet name="Summary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5" i="2"/>
  <c r="B14" i="2"/>
  <c r="B9" i="2"/>
  <c r="B8" i="2"/>
  <c r="B7" i="2"/>
  <c r="B6" i="2"/>
  <c r="B5" i="2"/>
  <c r="B4" i="2"/>
  <c r="B3" i="2"/>
  <c r="B25" i="2" l="1"/>
  <c r="B24" i="2"/>
  <c r="B23" i="2"/>
</calcChain>
</file>

<file path=xl/sharedStrings.xml><?xml version="1.0" encoding="utf-8"?>
<sst xmlns="http://schemas.openxmlformats.org/spreadsheetml/2006/main" count="39" uniqueCount="35">
  <si>
    <t>Session</t>
  </si>
  <si>
    <t>Game</t>
  </si>
  <si>
    <t>Death Time</t>
  </si>
  <si>
    <t>Deaths</t>
  </si>
  <si>
    <t>Start Time</t>
  </si>
  <si>
    <t>End Time</t>
  </si>
  <si>
    <t>Dark Souls III</t>
  </si>
  <si>
    <t>SOULS DEATH TRACKER — SUMMARY</t>
  </si>
  <si>
    <t>Stat</t>
  </si>
  <si>
    <t>Value</t>
  </si>
  <si>
    <t>Total Deaths</t>
  </si>
  <si>
    <t>Total Sessions</t>
  </si>
  <si>
    <t>Most Deaths in Session</t>
  </si>
  <si>
    <t>Least Deaths in Session</t>
  </si>
  <si>
    <t>Avg Deaths / Session</t>
  </si>
  <si>
    <t>Overall First Death</t>
  </si>
  <si>
    <t>Overall Last Death</t>
  </si>
  <si>
    <t>Pushups Done</t>
  </si>
  <si>
    <t>Squats (10 per)</t>
  </si>
  <si>
    <t>Pullups (3 per)</t>
  </si>
  <si>
    <t>Pushups (5 per)</t>
  </si>
  <si>
    <t>☠  PUNISHMENT TRACKER</t>
  </si>
  <si>
    <t>▸  TOTAL OWED</t>
  </si>
  <si>
    <t>Pushups Owed</t>
  </si>
  <si>
    <t>Pullups Owed</t>
  </si>
  <si>
    <t>Squats Owed</t>
  </si>
  <si>
    <t>▸  COMPLETED (type here)</t>
  </si>
  <si>
    <t>Pullups Done</t>
  </si>
  <si>
    <t>Squats Done</t>
  </si>
  <si>
    <t>▸  STILL OWED</t>
  </si>
  <si>
    <t>Pushups Left</t>
  </si>
  <si>
    <t>Pullups Left</t>
  </si>
  <si>
    <t>Squats Left</t>
  </si>
  <si>
    <t>Get these working properly</t>
  </si>
  <si>
    <t>&lt;-------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</si>
</sst>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"/>
      <color rgb="FFC84B31"/>
      <name val="Calibri"/>
    </font>
    <font>
      <b/>
      <sz val="10"/>
      <color rgb="FFAAAAAA"/>
      <name val="Calibri"/>
    </font>
    <font>
      <sz val="10"/>
      <color rgb="FFE0E038"/>
      <name val="Calibri"/>
    </font>
    <font>
      <b/>
      <sz val="10"/>
      <color rgb="FFC84B31"/>
      <name val="Calibri"/>
    </font>
    <font>
      <sz val="9"/>
      <color rgb="FF666666"/>
      <name val="Calibri"/>
    </font>
    <font>
      <b/>
      <sz val="12"/>
      <color rgb="FFC84B31"/>
      <name val="Calibri"/>
    </font>
    <font>
      <b/>
      <sz val="9"/>
      <color rgb="FFAAAAAA"/>
      <name val="Calibri"/>
    </font>
    <font>
      <b/>
      <sz val="10"/>
      <color rgb="FFE8A838"/>
      <name val="Calibri"/>
    </font>
    <font>
      <b/>
      <sz val="11"/>
      <color rgb="FFE8A838"/>
      <name val="Calibri"/>
    </font>
    <font>
      <b/>
      <sz val="10"/>
      <color rgb="FF3A86FF"/>
      <name val="Calibri"/>
    </font>
    <font>
      <b/>
      <sz val="11"/>
      <color rgb="FF3A86FF"/>
      <name val="Calibri"/>
    </font>
    <font>
      <b/>
      <sz val="10"/>
      <color rgb="FF2EC4B6"/>
      <name val="Calibri"/>
    </font>
    <font>
      <b/>
      <sz val="11"/>
      <color rgb="FF2EC4B6"/>
      <name val="Calibri"/>
    </font>
    <font>
      <b/>
      <sz val="14"/>
      <color rgb="FFE8A838"/>
      <name val="Calibri"/>
    </font>
    <font>
      <b/>
      <sz val="14"/>
      <color rgb="FF3A86FF"/>
      <name val="Calibri"/>
    </font>
    <font>
      <b/>
      <sz val="14"/>
      <color rgb="FF2EC4B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80808"/>
      </patternFill>
    </fill>
    <fill>
      <patternFill patternType="solid">
        <fgColor rgb="FF0D0D0D"/>
      </patternFill>
    </fill>
    <fill>
      <patternFill patternType="solid">
        <fgColor rgb="FF13519E"/>
      </patternFill>
    </fill>
    <fill>
      <patternFill patternType="solid">
        <fgColor rgb="FF1A0A08"/>
      </patternFill>
    </fill>
    <fill>
      <patternFill patternType="solid">
        <fgColor rgb="FF0A162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84B3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4" borderId="0" xfId="0" applyFont="1" applyFill="1"/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7" fillId="6" borderId="0" xfId="0" applyFont="1" applyFill="1"/>
    <xf numFmtId="0" fontId="0" fillId="6" borderId="0" xfId="0" applyFill="1"/>
    <xf numFmtId="0" fontId="8" fillId="4" borderId="0" xfId="0" applyFont="1" applyFill="1"/>
    <xf numFmtId="0" fontId="9" fillId="4" borderId="0" xfId="0" applyFont="1" applyFill="1"/>
    <xf numFmtId="1" fontId="10" fillId="4" borderId="0" xfId="0" applyNumberFormat="1" applyFont="1" applyFill="1" applyAlignment="1">
      <alignment horizontal="center"/>
    </xf>
    <xf numFmtId="0" fontId="11" fillId="4" borderId="0" xfId="0" applyFont="1" applyFill="1"/>
    <xf numFmtId="1" fontId="12" fillId="4" borderId="0" xfId="0" applyNumberFormat="1" applyFont="1" applyFill="1" applyAlignment="1">
      <alignment horizontal="center"/>
    </xf>
    <xf numFmtId="0" fontId="13" fillId="4" borderId="0" xfId="0" applyFont="1" applyFill="1"/>
    <xf numFmtId="1" fontId="14" fillId="4" borderId="0" xfId="0" applyNumberFormat="1" applyFont="1" applyFill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2" fillId="7" borderId="2" xfId="0" applyNumberFormat="1" applyFont="1" applyFill="1" applyBorder="1" applyAlignment="1">
      <alignment horizontal="center"/>
    </xf>
    <xf numFmtId="1" fontId="14" fillId="7" borderId="2" xfId="0" applyNumberFormat="1" applyFont="1" applyFill="1" applyBorder="1" applyAlignment="1">
      <alignment horizontal="center"/>
    </xf>
    <xf numFmtId="1" fontId="15" fillId="4" borderId="0" xfId="0" applyNumberFormat="1" applyFont="1" applyFill="1" applyAlignment="1">
      <alignment horizontal="center"/>
    </xf>
    <xf numFmtId="1" fontId="16" fillId="4" borderId="0" xfId="0" applyNumberFormat="1" applyFont="1" applyFill="1" applyAlignment="1">
      <alignment horizontal="center"/>
    </xf>
    <xf numFmtId="1" fontId="17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souls_deaths_v4_sample.xlsx" TargetMode="External"/><Relationship Id="rId2" Type="http://schemas.openxmlformats.org/officeDocument/2006/relationships/externalLinkPath" Target="file:///C:\Users\mjbel\Downloads\souls_deaths_v4_sample.xlsx" TargetMode="External"/><Relationship Id="rId1" Type="http://schemas.openxmlformats.org/officeDocument/2006/relationships/externalLinkPath" Target="/Users/mjbel/Downloads/souls_deaths_v4_s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aths Log"/>
      <sheetName val="Summary"/>
    </sheetNames>
    <sheetDataSet>
      <sheetData sheetId="0">
        <row r="2">
          <cell r="J2">
            <v>20</v>
          </cell>
          <cell r="K2">
            <v>12</v>
          </cell>
          <cell r="L2">
            <v>40</v>
          </cell>
        </row>
        <row r="3">
          <cell r="J3">
            <v>10</v>
          </cell>
          <cell r="K3">
            <v>6</v>
          </cell>
          <cell r="L3">
            <v>20</v>
          </cell>
        </row>
        <row r="4">
          <cell r="J4">
            <v>15</v>
          </cell>
          <cell r="K4">
            <v>9</v>
          </cell>
          <cell r="L4">
            <v>30</v>
          </cell>
        </row>
        <row r="5">
          <cell r="J5">
            <v>5</v>
          </cell>
          <cell r="K5">
            <v>3</v>
          </cell>
          <cell r="L5">
            <v>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10" customWidth="1"/>
    <col min="2" max="2" width="24" customWidth="1"/>
    <col min="3" max="3" width="22" customWidth="1"/>
    <col min="4" max="4" width="3" customWidth="1"/>
    <col min="5" max="5" width="10" customWidth="1"/>
    <col min="6" max="6" width="24" customWidth="1"/>
    <col min="7" max="7" width="10" customWidth="1"/>
    <col min="8" max="12" width="22" customWidth="1"/>
  </cols>
  <sheetData>
    <row r="1" spans="1:12" ht="21.95" customHeight="1" thickBot="1" x14ac:dyDescent="0.3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3</v>
      </c>
      <c r="H1" s="1" t="s">
        <v>4</v>
      </c>
      <c r="I1" s="1" t="s">
        <v>5</v>
      </c>
      <c r="J1" s="17" t="s">
        <v>20</v>
      </c>
      <c r="K1" s="17" t="s">
        <v>19</v>
      </c>
      <c r="L1" s="17" t="s">
        <v>18</v>
      </c>
    </row>
    <row r="2" spans="1:12" ht="18" customHeight="1" x14ac:dyDescent="0.25">
      <c r="A2" s="9">
        <v>1</v>
      </c>
      <c r="B2" s="9" t="s">
        <v>6</v>
      </c>
      <c r="C2" s="10">
        <v>46197.953025104172</v>
      </c>
      <c r="D2" s="2"/>
      <c r="E2" s="9">
        <v>1</v>
      </c>
      <c r="F2" s="9" t="s">
        <v>6</v>
      </c>
      <c r="G2" s="11">
        <v>2</v>
      </c>
      <c r="H2" s="12">
        <v>46197.953025104172</v>
      </c>
      <c r="I2" s="12">
        <v>46197.979537120547</v>
      </c>
      <c r="J2" s="12"/>
      <c r="K2" s="12"/>
      <c r="L2" s="12"/>
    </row>
    <row r="3" spans="1:12" ht="18" customHeight="1" x14ac:dyDescent="0.25">
      <c r="A3" s="13">
        <v>1</v>
      </c>
      <c r="B3" s="13" t="s">
        <v>6</v>
      </c>
      <c r="C3" s="14">
        <v>46197.979537120547</v>
      </c>
      <c r="D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workbookViewId="0">
      <selection activeCell="E18" sqref="E18"/>
    </sheetView>
  </sheetViews>
  <sheetFormatPr defaultRowHeight="15" x14ac:dyDescent="0.25"/>
  <cols>
    <col min="1" max="1" width="26" customWidth="1"/>
    <col min="2" max="2" width="22" customWidth="1"/>
    <col min="4" max="4" width="13.7109375" bestFit="1" customWidth="1"/>
    <col min="5" max="5" width="16.140625" bestFit="1" customWidth="1"/>
  </cols>
  <sheetData>
    <row r="1" spans="1:4" ht="17.25" x14ac:dyDescent="0.3">
      <c r="A1" s="15" t="s">
        <v>7</v>
      </c>
      <c r="B1" s="16"/>
    </row>
    <row r="2" spans="1:4" x14ac:dyDescent="0.25">
      <c r="A2" s="4" t="s">
        <v>8</v>
      </c>
      <c r="B2" s="4" t="s">
        <v>9</v>
      </c>
    </row>
    <row r="3" spans="1:4" x14ac:dyDescent="0.25">
      <c r="A3" s="5" t="s">
        <v>10</v>
      </c>
      <c r="B3" s="6">
        <f>COUNTA('Deaths Log'!A:A)-1</f>
        <v>2</v>
      </c>
    </row>
    <row r="4" spans="1:4" x14ac:dyDescent="0.25">
      <c r="A4" s="5" t="s">
        <v>11</v>
      </c>
      <c r="B4" s="6">
        <f>MAX('Deaths Log'!E:E)</f>
        <v>1</v>
      </c>
    </row>
    <row r="5" spans="1:4" x14ac:dyDescent="0.25">
      <c r="A5" s="5" t="s">
        <v>12</v>
      </c>
      <c r="B5" s="6">
        <f>IF(MAX('Deaths Log'!G:G)&gt;0,MAX('Deaths Log'!G:G),0)</f>
        <v>2</v>
      </c>
    </row>
    <row r="6" spans="1:4" x14ac:dyDescent="0.25">
      <c r="A6" s="5" t="s">
        <v>13</v>
      </c>
      <c r="B6" s="6" t="e">
        <f ca="1">IF(COUNTA('Deaths Log'!G:G)&gt;1,_xludf.MINIFS('Deaths Log'!G2:G9999,'Deaths Log'!G2:G9999,"&gt;0"),0)</f>
        <v>#NAME?</v>
      </c>
    </row>
    <row r="7" spans="1:4" x14ac:dyDescent="0.25">
      <c r="A7" s="5" t="s">
        <v>14</v>
      </c>
      <c r="B7" s="7">
        <f>IF(MAX('Deaths Log'!E:E)&gt;0,(COUNTA('Deaths Log'!A:A)-1)/MAX('Deaths Log'!E:E),0)</f>
        <v>2</v>
      </c>
    </row>
    <row r="8" spans="1:4" x14ac:dyDescent="0.25">
      <c r="A8" s="5" t="s">
        <v>15</v>
      </c>
      <c r="B8" s="8">
        <f>IF(COUNTA('Deaths Log'!C:C)&gt;1,MIN('Deaths Log'!C2:C9999),"")</f>
        <v>46197.953025104172</v>
      </c>
    </row>
    <row r="9" spans="1:4" x14ac:dyDescent="0.25">
      <c r="A9" s="5" t="s">
        <v>16</v>
      </c>
      <c r="B9" s="8">
        <f>IF(COUNTA('Deaths Log'!C:C)&gt;1,MAX('Deaths Log'!C2:C9999),"")</f>
        <v>46197.979537120547</v>
      </c>
    </row>
    <row r="10" spans="1:4" x14ac:dyDescent="0.25">
      <c r="A10" s="3"/>
      <c r="B10" s="3"/>
    </row>
    <row r="11" spans="1:4" ht="15.75" x14ac:dyDescent="0.25">
      <c r="A11" s="18" t="s">
        <v>21</v>
      </c>
      <c r="B11" s="19"/>
    </row>
    <row r="12" spans="1:4" x14ac:dyDescent="0.25">
      <c r="A12" s="20" t="s">
        <v>22</v>
      </c>
      <c r="B12" s="3"/>
    </row>
    <row r="13" spans="1:4" x14ac:dyDescent="0.25">
      <c r="A13" s="21" t="s">
        <v>23</v>
      </c>
      <c r="B13" s="22">
        <f>SUM('[1]Deaths Log'!J2:J9999)</f>
        <v>50</v>
      </c>
      <c r="C13" t="s">
        <v>34</v>
      </c>
      <c r="D13" t="s">
        <v>33</v>
      </c>
    </row>
    <row r="14" spans="1:4" x14ac:dyDescent="0.25">
      <c r="A14" s="23" t="s">
        <v>24</v>
      </c>
      <c r="B14" s="24">
        <f>SUM('[1]Deaths Log'!K2:K9999)</f>
        <v>30</v>
      </c>
    </row>
    <row r="15" spans="1:4" x14ac:dyDescent="0.25">
      <c r="A15" s="25" t="s">
        <v>25</v>
      </c>
      <c r="B15" s="26">
        <f>SUM('[1]Deaths Log'!L2:L9999)</f>
        <v>100</v>
      </c>
    </row>
    <row r="16" spans="1:4" x14ac:dyDescent="0.25">
      <c r="A16" s="3"/>
      <c r="B16" s="3"/>
    </row>
    <row r="17" spans="1:2" x14ac:dyDescent="0.25">
      <c r="A17" s="20" t="s">
        <v>26</v>
      </c>
      <c r="B17" s="3"/>
    </row>
    <row r="18" spans="1:2" x14ac:dyDescent="0.25">
      <c r="A18" s="21" t="s">
        <v>17</v>
      </c>
      <c r="B18" s="27">
        <v>0</v>
      </c>
    </row>
    <row r="19" spans="1:2" x14ac:dyDescent="0.25">
      <c r="A19" s="23" t="s">
        <v>27</v>
      </c>
      <c r="B19" s="28">
        <v>0</v>
      </c>
    </row>
    <row r="20" spans="1:2" x14ac:dyDescent="0.25">
      <c r="A20" s="25" t="s">
        <v>28</v>
      </c>
      <c r="B20" s="29">
        <v>0</v>
      </c>
    </row>
    <row r="21" spans="1:2" x14ac:dyDescent="0.25">
      <c r="A21" s="3"/>
      <c r="B21" s="3"/>
    </row>
    <row r="22" spans="1:2" x14ac:dyDescent="0.25">
      <c r="A22" s="20" t="s">
        <v>29</v>
      </c>
      <c r="B22" s="3"/>
    </row>
    <row r="23" spans="1:2" ht="18.75" x14ac:dyDescent="0.3">
      <c r="A23" s="21" t="s">
        <v>30</v>
      </c>
      <c r="B23" s="30">
        <f>MAX(0,B13-B18)</f>
        <v>50</v>
      </c>
    </row>
    <row r="24" spans="1:2" ht="18.75" x14ac:dyDescent="0.3">
      <c r="A24" s="23" t="s">
        <v>31</v>
      </c>
      <c r="B24" s="31">
        <f>MAX(0,B14-B19)</f>
        <v>30</v>
      </c>
    </row>
    <row r="25" spans="1:2" ht="18.75" x14ac:dyDescent="0.3">
      <c r="A25" s="25" t="s">
        <v>32</v>
      </c>
      <c r="B25" s="32">
        <f>MAX(0,B15-B20)</f>
        <v>100</v>
      </c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</sheetData>
  <mergeCells count="2">
    <mergeCell ref="A1:B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Deaths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Bell, Micah</cp:lastModifiedBy>
  <dcterms:created xsi:type="dcterms:W3CDTF">2026-06-25T05:32:04Z</dcterms:created>
  <dcterms:modified xsi:type="dcterms:W3CDTF">2026-06-25T06:53:38Z</dcterms:modified>
</cp:coreProperties>
</file>